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elao\Downloads\"/>
    </mc:Choice>
  </mc:AlternateContent>
  <xr:revisionPtr revIDLastSave="0" documentId="13_ncr:1_{55CA7CE4-D534-407D-82C8-C43B6CDEE7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mulador" sheetId="1" r:id="rId1"/>
    <sheet name="Perf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0" i="2" l="1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C34" i="1"/>
  <c r="D34" i="1" s="1"/>
  <c r="C33" i="1"/>
  <c r="D33" i="1" s="1"/>
  <c r="C32" i="1"/>
  <c r="D32" i="1" s="1"/>
  <c r="C31" i="1"/>
  <c r="D31" i="1" s="1"/>
  <c r="C30" i="1"/>
  <c r="D30" i="1" s="1"/>
  <c r="C29" i="1"/>
  <c r="D29" i="1" s="1"/>
  <c r="D35" i="1" s="1"/>
  <c r="C23" i="1"/>
  <c r="E23" i="1" s="1"/>
  <c r="F23" i="1" s="1"/>
  <c r="C22" i="1"/>
  <c r="E22" i="1" s="1"/>
  <c r="F22" i="1" s="1"/>
  <c r="C21" i="1"/>
  <c r="E21" i="1" s="1"/>
  <c r="F21" i="1" s="1"/>
  <c r="C20" i="1"/>
  <c r="E20" i="1" s="1"/>
  <c r="F20" i="1" s="1"/>
  <c r="C19" i="1"/>
  <c r="E19" i="1" s="1"/>
  <c r="F19" i="1" s="1"/>
  <c r="H10" i="1"/>
  <c r="D9" i="1"/>
  <c r="H8" i="1"/>
  <c r="H9" i="1" s="1"/>
  <c r="H7" i="1"/>
  <c r="H11" i="1" l="1"/>
  <c r="C35" i="1"/>
  <c r="D19" i="1"/>
  <c r="D20" i="1"/>
  <c r="D21" i="1"/>
  <c r="D22" i="1"/>
  <c r="D23" i="1"/>
</calcChain>
</file>

<file path=xl/sharedStrings.xml><?xml version="1.0" encoding="utf-8"?>
<sst xmlns="http://schemas.openxmlformats.org/spreadsheetml/2006/main" count="83" uniqueCount="44">
  <si>
    <t>Simulador de Investimentos em Fundos Imobiliários</t>
  </si>
  <si>
    <t>Entradas da simulação</t>
  </si>
  <si>
    <t>Resultados</t>
  </si>
  <si>
    <t>Salário mensal</t>
  </si>
  <si>
    <t>Total investido</t>
  </si>
  <si>
    <t>Percentual sugerido para investir</t>
  </si>
  <si>
    <t>Patrimônio acumulado</t>
  </si>
  <si>
    <t>Aporte mensal sugerido</t>
  </si>
  <si>
    <t>Rendimentos acumulados</t>
  </si>
  <si>
    <t>Dividendos mensais</t>
  </si>
  <si>
    <t>Aporte mensal escolhido</t>
  </si>
  <si>
    <t>Ganho sobre os aportes</t>
  </si>
  <si>
    <t>Prazo do investimento (anos)</t>
  </si>
  <si>
    <t>Taxa de rendimento mensal</t>
  </si>
  <si>
    <t>Taxa mensal de dividendos</t>
  </si>
  <si>
    <t>Perfil de investidor</t>
  </si>
  <si>
    <t>Moderado</t>
  </si>
  <si>
    <t>Cenários por prazo</t>
  </si>
  <si>
    <t>Prazo (anos)</t>
  </si>
  <si>
    <t>Meses</t>
  </si>
  <si>
    <t>Distribuição sugerida por perfil</t>
  </si>
  <si>
    <t>Tipo de FII</t>
  </si>
  <si>
    <t>Percentual</t>
  </si>
  <si>
    <t>Valor mensal</t>
  </si>
  <si>
    <t>Papel</t>
  </si>
  <si>
    <t>Tijolo</t>
  </si>
  <si>
    <t>Híbridos</t>
  </si>
  <si>
    <t>FOFs</t>
  </si>
  <si>
    <t>Desenvolvimento</t>
  </si>
  <si>
    <t>Hotelaria</t>
  </si>
  <si>
    <t>Total</t>
  </si>
  <si>
    <t>Chave</t>
  </si>
  <si>
    <t>Perfil</t>
  </si>
  <si>
    <t>Fonte e premissas</t>
  </si>
  <si>
    <t>Conservador</t>
  </si>
  <si>
    <t>Modelo de referência</t>
  </si>
  <si>
    <t>Desafio DIO: Simulador de Investimentos em FIIs</t>
  </si>
  <si>
    <t>Taxas</t>
  </si>
  <si>
    <t>Hipóteses editáveis para fins educacionais</t>
  </si>
  <si>
    <t>Perfis</t>
  </si>
  <si>
    <t>Percentuais inspirados no arquivo resolvido disponibilizado no desafio</t>
  </si>
  <si>
    <t>Retorno</t>
  </si>
  <si>
    <t>Não representa promessa ou recomendação de investimento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</si>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</sst>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(&quot;R$&quot;\ #,##0.00\);\-"/>
    <numFmt numFmtId="165" formatCode="0.0%"/>
  </numFmts>
  <fonts count="14">
    <font>
      <sz val="11"/>
      <name val="Carlito"/>
    </font>
    <font>
      <b/>
      <sz val="16"/>
      <color rgb="FF17324D"/>
      <name val="Arial"/>
    </font>
    <font>
      <i/>
      <sz val="10"/>
      <color rgb="FF5B6570"/>
      <name val="Arial"/>
    </font>
    <font>
      <b/>
      <sz val="10"/>
      <color rgb="FFFFFFFF"/>
      <name val="Arial"/>
    </font>
    <font>
      <sz val="11"/>
      <color rgb="FF0070C0"/>
      <name val="Arial"/>
    </font>
    <font>
      <b/>
      <sz val="11"/>
      <color rgb="FF000000"/>
      <name val="Arial"/>
    </font>
    <font>
      <b/>
      <sz val="11"/>
      <color rgb="FF27313A"/>
      <name val="Arial"/>
    </font>
    <font>
      <b/>
      <sz val="11"/>
      <color rgb="FF17324D"/>
      <name val="Arial"/>
    </font>
    <font>
      <b/>
      <sz val="11"/>
      <color rgb="FFFFFFFF"/>
      <name val="Arial"/>
    </font>
    <font>
      <b/>
      <sz val="11"/>
      <color rgb="FF26372D"/>
      <name val="Arial"/>
    </font>
    <font>
      <sz val="11"/>
      <color rgb="FF1F6E43"/>
      <name val="Arial"/>
    </font>
    <font>
      <b/>
      <sz val="11"/>
      <color rgb="FF1F6E43"/>
      <name val="Arial"/>
    </font>
    <font>
      <sz val="11"/>
      <name val="Arial"/>
    </font>
    <font>
      <sz val="11"/>
      <color rgb="FF27313A"/>
      <name val="Arial"/>
    </font>
  </fonts>
  <fills count="8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FF2CC"/>
      </patternFill>
    </fill>
    <fill>
      <patternFill patternType="solid">
        <fgColor rgb="FFE9F4ED"/>
      </patternFill>
    </fill>
    <fill>
      <patternFill patternType="solid">
        <fgColor rgb="FFF3F5F7"/>
      </patternFill>
    </fill>
    <fill>
      <patternFill patternType="solid">
        <fgColor rgb="FF1F6E43"/>
      </patternFill>
    </fill>
    <fill>
      <patternFill patternType="solid">
        <fgColor rgb="FFDDEBE2"/>
      </patternFill>
    </fill>
  </fills>
  <borders count="12">
    <border>
      <left/>
      <right/>
      <top/>
      <bottom/>
      <diagonal/>
    </border>
    <border>
      <left/>
      <right/>
      <top/>
      <bottom style="thin">
        <color rgb="FF17324D"/>
      </bottom>
      <diagonal/>
    </border>
    <border>
      <left style="thin">
        <color rgb="FFD9E0E5"/>
      </left>
      <right/>
      <top style="thin">
        <color rgb="FFD9E0E5"/>
      </top>
      <bottom/>
      <diagonal/>
    </border>
    <border>
      <left/>
      <right/>
      <top style="thin">
        <color rgb="FFD9E0E5"/>
      </top>
      <bottom/>
      <diagonal/>
    </border>
    <border>
      <left/>
      <right style="thin">
        <color rgb="FFD9E0E5"/>
      </right>
      <top style="thin">
        <color rgb="FFD9E0E5"/>
      </top>
      <bottom/>
      <diagonal/>
    </border>
    <border>
      <left style="thin">
        <color rgb="FFD9E0E5"/>
      </left>
      <right/>
      <top/>
      <bottom/>
      <diagonal/>
    </border>
    <border>
      <left/>
      <right style="thin">
        <color rgb="FFD9E0E5"/>
      </right>
      <top/>
      <bottom/>
      <diagonal/>
    </border>
    <border>
      <left style="thin">
        <color rgb="FFD9E0E5"/>
      </left>
      <right/>
      <top/>
      <bottom style="thin">
        <color rgb="FFD9E0E5"/>
      </bottom>
      <diagonal/>
    </border>
    <border>
      <left/>
      <right/>
      <top/>
      <bottom style="thin">
        <color rgb="FFD9E0E5"/>
      </bottom>
      <diagonal/>
    </border>
    <border>
      <left/>
      <right style="thin">
        <color rgb="FFD9E0E5"/>
      </right>
      <top/>
      <bottom style="thin">
        <color rgb="FFD9E0E5"/>
      </bottom>
      <diagonal/>
    </border>
    <border>
      <left/>
      <right/>
      <top style="thin">
        <color rgb="FFD9E0E5"/>
      </top>
      <bottom style="thin">
        <color rgb="FFD9E0E5"/>
      </bottom>
      <diagonal/>
    </border>
    <border>
      <left/>
      <right/>
      <top style="double">
        <color rgb="FF17324D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6" fillId="5" borderId="2" xfId="0" applyNumberFormat="1" applyFont="1" applyFill="1" applyBorder="1"/>
    <xf numFmtId="0" fontId="6" fillId="5" borderId="5" xfId="0" applyNumberFormat="1" applyFont="1" applyFill="1" applyBorder="1"/>
    <xf numFmtId="0" fontId="6" fillId="5" borderId="7" xfId="0" applyNumberFormat="1" applyFont="1" applyFill="1" applyBorder="1"/>
    <xf numFmtId="164" fontId="7" fillId="5" borderId="4" xfId="0" applyNumberFormat="1" applyFont="1" applyFill="1" applyBorder="1"/>
    <xf numFmtId="164" fontId="7" fillId="5" borderId="6" xfId="0" applyNumberFormat="1" applyFont="1" applyFill="1" applyBorder="1"/>
    <xf numFmtId="165" fontId="7" fillId="5" borderId="9" xfId="0" applyNumberFormat="1" applyFont="1" applyFill="1" applyBorder="1"/>
    <xf numFmtId="0" fontId="8" fillId="6" borderId="0" xfId="0" applyNumberFormat="1" applyFont="1" applyFill="1" applyBorder="1"/>
    <xf numFmtId="0" fontId="9" fillId="7" borderId="0" xfId="0" applyNumberFormat="1" applyFont="1" applyFill="1" applyBorder="1" applyAlignment="1">
      <alignment horizontal="center" vertical="center" wrapText="1"/>
    </xf>
    <xf numFmtId="0" fontId="9" fillId="7" borderId="0" xfId="0" applyNumberFormat="1" applyFont="1" applyFill="1" applyBorder="1" applyAlignment="1">
      <alignment horizontal="center"/>
    </xf>
    <xf numFmtId="0" fontId="7" fillId="5" borderId="11" xfId="0" applyNumberFormat="1" applyFont="1" applyFill="1" applyBorder="1"/>
    <xf numFmtId="164" fontId="7" fillId="5" borderId="11" xfId="0" applyNumberFormat="1" applyFont="1" applyFill="1" applyBorder="1"/>
    <xf numFmtId="165" fontId="10" fillId="0" borderId="8" xfId="0" applyNumberFormat="1" applyFont="1" applyFill="1" applyBorder="1"/>
    <xf numFmtId="165" fontId="10" fillId="0" borderId="10" xfId="0" applyNumberFormat="1" applyFont="1" applyFill="1" applyBorder="1"/>
    <xf numFmtId="165" fontId="10" fillId="0" borderId="3" xfId="0" applyNumberFormat="1" applyFont="1" applyFill="1" applyBorder="1"/>
    <xf numFmtId="165" fontId="11" fillId="5" borderId="11" xfId="0" applyNumberFormat="1" applyFont="1" applyFill="1" applyBorder="1"/>
    <xf numFmtId="0" fontId="12" fillId="0" borderId="0" xfId="0" applyNumberFormat="1" applyFont="1" applyFill="1" applyBorder="1"/>
    <xf numFmtId="0" fontId="12" fillId="0" borderId="1" xfId="0" applyNumberFormat="1" applyFont="1" applyFill="1" applyBorder="1"/>
    <xf numFmtId="0" fontId="12" fillId="5" borderId="3" xfId="0" applyNumberFormat="1" applyFont="1" applyFill="1" applyBorder="1"/>
    <xf numFmtId="0" fontId="12" fillId="5" borderId="0" xfId="0" applyNumberFormat="1" applyFont="1" applyFill="1" applyBorder="1"/>
    <xf numFmtId="0" fontId="12" fillId="5" borderId="8" xfId="0" applyNumberFormat="1" applyFont="1" applyFill="1" applyBorder="1"/>
    <xf numFmtId="1" fontId="12" fillId="0" borderId="8" xfId="0" applyNumberFormat="1" applyFont="1" applyFill="1" applyBorder="1"/>
    <xf numFmtId="164" fontId="12" fillId="0" borderId="8" xfId="0" applyNumberFormat="1" applyFont="1" applyFill="1" applyBorder="1"/>
    <xf numFmtId="1" fontId="12" fillId="0" borderId="10" xfId="0" applyNumberFormat="1" applyFont="1" applyFill="1" applyBorder="1"/>
    <xf numFmtId="164" fontId="12" fillId="0" borderId="10" xfId="0" applyNumberFormat="1" applyFont="1" applyFill="1" applyBorder="1"/>
    <xf numFmtId="1" fontId="12" fillId="0" borderId="3" xfId="0" applyNumberFormat="1" applyFont="1" applyFill="1" applyBorder="1"/>
    <xf numFmtId="164" fontId="12" fillId="0" borderId="3" xfId="0" applyNumberFormat="1" applyFont="1" applyFill="1" applyBorder="1"/>
    <xf numFmtId="0" fontId="12" fillId="0" borderId="8" xfId="0" applyNumberFormat="1" applyFont="1" applyFill="1" applyBorder="1"/>
    <xf numFmtId="0" fontId="12" fillId="0" borderId="10" xfId="0" applyNumberFormat="1" applyFont="1" applyFill="1" applyBorder="1"/>
    <xf numFmtId="0" fontId="12" fillId="0" borderId="3" xfId="0" applyNumberFormat="1" applyFont="1" applyFill="1" applyBorder="1"/>
    <xf numFmtId="0" fontId="13" fillId="0" borderId="8" xfId="0" applyNumberFormat="1" applyFont="1" applyFill="1" applyBorder="1"/>
    <xf numFmtId="164" fontId="4" fillId="3" borderId="8" xfId="0" applyNumberFormat="1" applyFont="1" applyFill="1" applyBorder="1"/>
    <xf numFmtId="0" fontId="13" fillId="0" borderId="10" xfId="0" applyNumberFormat="1" applyFont="1" applyFill="1" applyBorder="1"/>
    <xf numFmtId="165" fontId="4" fillId="3" borderId="10" xfId="0" applyNumberFormat="1" applyFont="1" applyFill="1" applyBorder="1"/>
    <xf numFmtId="164" fontId="5" fillId="4" borderId="10" xfId="0" applyNumberFormat="1" applyFont="1" applyFill="1" applyBorder="1"/>
    <xf numFmtId="164" fontId="4" fillId="3" borderId="10" xfId="0" applyNumberFormat="1" applyFont="1" applyFill="1" applyBorder="1"/>
    <xf numFmtId="1" fontId="4" fillId="3" borderId="10" xfId="0" applyNumberFormat="1" applyFont="1" applyFill="1" applyBorder="1"/>
    <xf numFmtId="10" fontId="4" fillId="3" borderId="10" xfId="0" applyNumberFormat="1" applyFont="1" applyFill="1" applyBorder="1"/>
    <xf numFmtId="0" fontId="13" fillId="0" borderId="3" xfId="0" applyNumberFormat="1" applyFont="1" applyFill="1" applyBorder="1"/>
    <xf numFmtId="0" fontId="4" fillId="3" borderId="3" xfId="0" applyNumberFormat="1" applyFont="1" applyFill="1" applyBorder="1"/>
    <xf numFmtId="0" fontId="8" fillId="2" borderId="0" xfId="0" applyNumberFormat="1" applyFont="1" applyFill="1" applyBorder="1" applyAlignment="1">
      <alignment horizontal="center"/>
    </xf>
    <xf numFmtId="0" fontId="7" fillId="0" borderId="0" xfId="0" applyNumberFormat="1" applyFont="1" applyFill="1" applyBorder="1"/>
    <xf numFmtId="165" fontId="12" fillId="0" borderId="8" xfId="0" applyNumberFormat="1" applyFont="1" applyFill="1" applyBorder="1"/>
    <xf numFmtId="0" fontId="12" fillId="0" borderId="0" xfId="0" applyNumberFormat="1" applyFont="1" applyFill="1" applyBorder="1" applyAlignment="1">
      <alignment wrapText="1"/>
    </xf>
    <xf numFmtId="165" fontId="12" fillId="0" borderId="10" xfId="0" applyNumberFormat="1" applyFont="1" applyFill="1" applyBorder="1"/>
    <xf numFmtId="165" fontId="12" fillId="0" borderId="3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0" fontId="8" fillId="6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 sz="900">
                <a:latin typeface="Arial"/>
                <a:ea typeface="Arial"/>
                <a:cs typeface="Arial"/>
              </a:rPr>
              <a:t>Patrimônio estimado por prazo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Patrimônio acumulado</c:v>
          </c:tx>
          <c:spPr>
            <a:ln w="19050">
              <a:solidFill>
                <a:srgbClr val="1F6E43"/>
              </a:solidFill>
              <a:prstDash val="solid"/>
            </a:ln>
          </c:spPr>
          <c:marker>
            <c:symbol val="none"/>
          </c:marker>
          <c:cat>
            <c:numRef>
              <c:f>Simulador!$B$19:$B$23</c:f>
              <c:numCache>
                <c:formatCode>0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cat>
          <c:val>
            <c:numRef>
              <c:f>Simulador!$E$19:$E$23</c:f>
              <c:numCache>
                <c:formatCode>"R$"\ #,##0.00;[Red]\("R$"\ #,##0.00\);\-</c:formatCode>
                <c:ptCount val="5"/>
                <c:pt idx="0">
                  <c:v>16184.078911914898</c:v>
                </c:pt>
                <c:pt idx="1">
                  <c:v>49001.801913845477</c:v>
                </c:pt>
                <c:pt idx="2">
                  <c:v>138023.21367442017</c:v>
                </c:pt>
                <c:pt idx="3">
                  <c:v>593553.21923241776</c:v>
                </c:pt>
                <c:pt idx="4">
                  <c:v>2096978.4796611038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C-4486-A068-AD0BED5FC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pt-B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R\$\ 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pt-BR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 sz="900">
                <a:latin typeface="Arial"/>
                <a:ea typeface="Arial"/>
                <a:cs typeface="Arial"/>
              </a:rPr>
              <a:t>Distribuição mensal do aporte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Valor mensal</c:v>
          </c:tx>
          <c:cat>
            <c:strRef>
              <c:f>Simulador!$B$29:$B$34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Simulador!$D$29:$D$34</c:f>
              <c:numCache>
                <c:formatCode>"R$"\ #,##0.00;[Red]\("R$"\ #,##0.00\);\-</c:formatCode>
                <c:ptCount val="6"/>
                <c:pt idx="0">
                  <c:v>192</c:v>
                </c:pt>
                <c:pt idx="1">
                  <c:v>210</c:v>
                </c:pt>
                <c:pt idx="2">
                  <c:v>48</c:v>
                </c:pt>
                <c:pt idx="3">
                  <c:v>30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A2-4AED-9F9E-ADDCEFC18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r"/>
      <c:overlay val="0"/>
      <c:txPr>
        <a:bodyPr anchorCtr="1"/>
        <a:lstStyle/>
        <a:p>
          <a:pPr>
            <a:defRPr sz="675"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16</xdr:row>
      <xdr:rowOff>0</xdr:rowOff>
    </xdr:from>
    <xdr:to>
      <xdr:col>15</xdr:col>
      <xdr:colOff>0</xdr:colOff>
      <xdr:row>26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15</xdr:col>
      <xdr:colOff>0</xdr:colOff>
      <xdr:row>40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24D"/>
  </sheetPr>
  <dimension ref="B2:O42"/>
  <sheetViews>
    <sheetView showGridLines="0" tabSelected="1" workbookViewId="0">
      <pane ySplit="4" topLeftCell="A17" activePane="bottomLeft" state="frozen"/>
      <selection pane="bottomLeft" activeCell="H11" sqref="H11"/>
    </sheetView>
  </sheetViews>
  <sheetFormatPr defaultRowHeight="13.8"/>
  <cols>
    <col min="2" max="2" width="23" customWidth="1"/>
    <col min="3" max="3" width="15" customWidth="1"/>
    <col min="4" max="4" width="18" customWidth="1"/>
    <col min="5" max="6" width="19" customWidth="1"/>
    <col min="7" max="7" width="3" customWidth="1"/>
    <col min="8" max="8" width="22" customWidth="1"/>
  </cols>
  <sheetData>
    <row r="2" spans="2:15" ht="28.05" customHeight="1">
      <c r="B2" s="46" t="s">
        <v>0</v>
      </c>
      <c r="C2" s="46"/>
      <c r="D2" s="46"/>
      <c r="E2" s="46"/>
      <c r="F2" s="46"/>
      <c r="G2" s="46"/>
      <c r="H2" s="46"/>
      <c r="I2" s="16"/>
      <c r="J2" s="16"/>
      <c r="K2" s="16"/>
      <c r="L2" s="16"/>
      <c r="M2" s="16"/>
      <c r="N2" s="16"/>
      <c r="O2" s="16"/>
    </row>
    <row r="3" spans="2:15">
      <c r="B3" s="17"/>
      <c r="C3" s="17"/>
      <c r="D3" s="17"/>
      <c r="E3" s="17"/>
      <c r="F3" s="17"/>
      <c r="G3" s="17"/>
      <c r="H3" s="17"/>
      <c r="I3" s="16"/>
      <c r="J3" s="16"/>
      <c r="K3" s="16"/>
      <c r="L3" s="16"/>
      <c r="M3" s="16"/>
      <c r="N3" s="16"/>
      <c r="O3" s="16"/>
    </row>
    <row r="4" spans="2:15">
      <c r="B4" s="47"/>
      <c r="C4" s="47"/>
      <c r="D4" s="47"/>
      <c r="E4" s="47"/>
      <c r="F4" s="47"/>
      <c r="G4" s="47"/>
      <c r="H4" s="47"/>
      <c r="I4" s="16"/>
      <c r="J4" s="16"/>
      <c r="K4" s="16"/>
      <c r="L4" s="16"/>
      <c r="M4" s="16"/>
      <c r="N4" s="16"/>
      <c r="O4" s="16"/>
    </row>
    <row r="5" spans="2:1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spans="2:15">
      <c r="B6" s="48" t="s">
        <v>1</v>
      </c>
      <c r="C6" s="48"/>
      <c r="D6" s="48"/>
      <c r="E6" s="16"/>
      <c r="F6" s="48" t="s">
        <v>2</v>
      </c>
      <c r="G6" s="48"/>
      <c r="H6" s="48"/>
      <c r="I6" s="16"/>
      <c r="J6" s="16"/>
      <c r="K6" s="16"/>
      <c r="L6" s="16"/>
      <c r="M6" s="16"/>
      <c r="N6" s="16"/>
      <c r="O6" s="16"/>
    </row>
    <row r="7" spans="2:15">
      <c r="B7" s="30" t="s">
        <v>3</v>
      </c>
      <c r="C7" s="27"/>
      <c r="D7" s="31">
        <v>2500</v>
      </c>
      <c r="E7" s="16"/>
      <c r="F7" s="1" t="s">
        <v>4</v>
      </c>
      <c r="G7" s="18"/>
      <c r="H7" s="4">
        <f>D11*D12*12</f>
        <v>72000</v>
      </c>
      <c r="I7" s="16"/>
      <c r="J7" s="16"/>
      <c r="K7" s="16"/>
      <c r="L7" s="16"/>
      <c r="M7" s="16"/>
      <c r="N7" s="16"/>
      <c r="O7" s="16"/>
    </row>
    <row r="8" spans="2:15">
      <c r="B8" s="32" t="s">
        <v>5</v>
      </c>
      <c r="C8" s="28"/>
      <c r="D8" s="33">
        <v>0.3</v>
      </c>
      <c r="E8" s="16"/>
      <c r="F8" s="2" t="s">
        <v>6</v>
      </c>
      <c r="G8" s="19"/>
      <c r="H8" s="5">
        <f>IF(D13=0,D11*D12*12,D11*((1+D13)^(D12*12)-1)/D13)</f>
        <v>138023.21367442017</v>
      </c>
      <c r="I8" s="16"/>
      <c r="J8" s="16"/>
      <c r="K8" s="16"/>
      <c r="L8" s="16"/>
      <c r="M8" s="16"/>
      <c r="N8" s="16"/>
      <c r="O8" s="16"/>
    </row>
    <row r="9" spans="2:15">
      <c r="B9" s="32" t="s">
        <v>7</v>
      </c>
      <c r="C9" s="28"/>
      <c r="D9" s="34">
        <f>D7*D8</f>
        <v>750</v>
      </c>
      <c r="E9" s="16"/>
      <c r="F9" s="2" t="s">
        <v>8</v>
      </c>
      <c r="G9" s="19"/>
      <c r="H9" s="5">
        <f>H8-H7</f>
        <v>66023.213674420171</v>
      </c>
      <c r="I9" s="16"/>
      <c r="J9" s="16"/>
      <c r="K9" s="16"/>
      <c r="L9" s="16"/>
      <c r="M9" s="16"/>
      <c r="N9" s="16"/>
      <c r="O9" s="16"/>
    </row>
    <row r="10" spans="2:15">
      <c r="B10" s="32"/>
      <c r="C10" s="28"/>
      <c r="D10" s="24"/>
      <c r="E10" s="16"/>
      <c r="F10" s="2" t="s">
        <v>9</v>
      </c>
      <c r="G10" s="19"/>
      <c r="H10" s="5">
        <f>H8*D14</f>
        <v>828.13928204652109</v>
      </c>
      <c r="I10" s="16"/>
      <c r="J10" s="16"/>
      <c r="K10" s="16"/>
      <c r="L10" s="16"/>
      <c r="M10" s="16"/>
      <c r="N10" s="16"/>
      <c r="O10" s="16"/>
    </row>
    <row r="11" spans="2:15">
      <c r="B11" s="32" t="s">
        <v>10</v>
      </c>
      <c r="C11" s="28"/>
      <c r="D11" s="35">
        <v>600</v>
      </c>
      <c r="E11" s="16"/>
      <c r="F11" s="3" t="s">
        <v>11</v>
      </c>
      <c r="G11" s="20"/>
      <c r="H11" s="6">
        <f>IF(H7=0,"",H9/H7)</f>
        <v>0.91698907881139124</v>
      </c>
      <c r="I11" s="16"/>
      <c r="J11" s="16"/>
      <c r="K11" s="16"/>
      <c r="L11" s="16"/>
      <c r="M11" s="16"/>
      <c r="N11" s="16"/>
      <c r="O11" s="16"/>
    </row>
    <row r="12" spans="2:15">
      <c r="B12" s="32" t="s">
        <v>12</v>
      </c>
      <c r="C12" s="28"/>
      <c r="D12" s="36">
        <v>10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spans="2:15">
      <c r="B13" s="32" t="s">
        <v>13</v>
      </c>
      <c r="C13" s="28"/>
      <c r="D13" s="37">
        <v>0.01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2:15">
      <c r="B14" s="32" t="s">
        <v>14</v>
      </c>
      <c r="C14" s="28"/>
      <c r="D14" s="37">
        <v>6.0000000000000001E-3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2:15">
      <c r="B15" s="38" t="s">
        <v>15</v>
      </c>
      <c r="C15" s="29"/>
      <c r="D15" s="39" t="s">
        <v>16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spans="2:15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spans="2:15">
      <c r="B17" s="49" t="s">
        <v>17</v>
      </c>
      <c r="C17" s="49"/>
      <c r="D17" s="49"/>
      <c r="E17" s="49"/>
      <c r="F17" s="49"/>
      <c r="G17" s="16"/>
      <c r="H17" s="16"/>
      <c r="I17" s="16"/>
      <c r="J17" s="16"/>
      <c r="K17" s="16"/>
      <c r="L17" s="16"/>
      <c r="M17" s="16"/>
      <c r="N17" s="16"/>
      <c r="O17" s="16"/>
    </row>
    <row r="18" spans="2:15" ht="30" customHeight="1">
      <c r="B18" s="8" t="s">
        <v>18</v>
      </c>
      <c r="C18" s="8" t="s">
        <v>19</v>
      </c>
      <c r="D18" s="8" t="s">
        <v>4</v>
      </c>
      <c r="E18" s="8" t="s">
        <v>6</v>
      </c>
      <c r="F18" s="8" t="s">
        <v>9</v>
      </c>
      <c r="G18" s="16"/>
      <c r="H18" s="16"/>
      <c r="I18" s="16"/>
      <c r="J18" s="16"/>
      <c r="K18" s="16"/>
      <c r="L18" s="16"/>
      <c r="M18" s="16"/>
      <c r="N18" s="16"/>
      <c r="O18" s="16"/>
    </row>
    <row r="19" spans="2:15">
      <c r="B19" s="21">
        <v>2</v>
      </c>
      <c r="C19" s="21">
        <f>B19*12</f>
        <v>24</v>
      </c>
      <c r="D19" s="22">
        <f>$D$11*C19</f>
        <v>14400</v>
      </c>
      <c r="E19" s="22">
        <f>IF($D$13=0,$D$11*C19,$D$11*((1+$D$13)^C19-1)/$D$13)</f>
        <v>16184.078911914898</v>
      </c>
      <c r="F19" s="22">
        <f>E19*$D$14</f>
        <v>97.104473471489385</v>
      </c>
      <c r="G19" s="16"/>
      <c r="H19" s="16"/>
      <c r="I19" s="16"/>
      <c r="J19" s="16"/>
      <c r="K19" s="16"/>
      <c r="L19" s="16"/>
      <c r="M19" s="16"/>
      <c r="N19" s="16"/>
      <c r="O19" s="16"/>
    </row>
    <row r="20" spans="2:15">
      <c r="B20" s="23">
        <v>5</v>
      </c>
      <c r="C20" s="23">
        <f>B20*12</f>
        <v>60</v>
      </c>
      <c r="D20" s="24">
        <f>$D$11*C20</f>
        <v>36000</v>
      </c>
      <c r="E20" s="24">
        <f>IF($D$13=0,$D$11*C20,$D$11*((1+$D$13)^C20-1)/$D$13)</f>
        <v>49001.801913845477</v>
      </c>
      <c r="F20" s="24">
        <f>E20*$D$14</f>
        <v>294.01081148307287</v>
      </c>
      <c r="G20" s="16"/>
      <c r="H20" s="16"/>
      <c r="I20" s="16"/>
      <c r="J20" s="16"/>
      <c r="K20" s="16"/>
      <c r="L20" s="16"/>
      <c r="M20" s="16"/>
      <c r="N20" s="16"/>
      <c r="O20" s="16"/>
    </row>
    <row r="21" spans="2:15">
      <c r="B21" s="23">
        <v>10</v>
      </c>
      <c r="C21" s="23">
        <f>B21*12</f>
        <v>120</v>
      </c>
      <c r="D21" s="24">
        <f>$D$11*C21</f>
        <v>72000</v>
      </c>
      <c r="E21" s="24">
        <f>IF($D$13=0,$D$11*C21,$D$11*((1+$D$13)^C21-1)/$D$13)</f>
        <v>138023.21367442017</v>
      </c>
      <c r="F21" s="24">
        <f>E21*$D$14</f>
        <v>828.13928204652109</v>
      </c>
      <c r="G21" s="16"/>
      <c r="H21" s="16"/>
      <c r="I21" s="16"/>
      <c r="J21" s="16"/>
      <c r="K21" s="16"/>
      <c r="L21" s="16"/>
      <c r="M21" s="16"/>
      <c r="N21" s="16"/>
      <c r="O21" s="16"/>
    </row>
    <row r="22" spans="2:15">
      <c r="B22" s="23">
        <v>20</v>
      </c>
      <c r="C22" s="23">
        <f>B22*12</f>
        <v>240</v>
      </c>
      <c r="D22" s="24">
        <f>$D$11*C22</f>
        <v>144000</v>
      </c>
      <c r="E22" s="24">
        <f>IF($D$13=0,$D$11*C22,$D$11*((1+$D$13)^C22-1)/$D$13)</f>
        <v>593553.21923241776</v>
      </c>
      <c r="F22" s="24">
        <f>E22*$D$14</f>
        <v>3561.3193153945067</v>
      </c>
      <c r="G22" s="16"/>
      <c r="H22" s="16"/>
      <c r="I22" s="16"/>
      <c r="J22" s="16"/>
      <c r="K22" s="16"/>
      <c r="L22" s="16"/>
      <c r="M22" s="16"/>
      <c r="N22" s="16"/>
      <c r="O22" s="16"/>
    </row>
    <row r="23" spans="2:15">
      <c r="B23" s="25">
        <v>30</v>
      </c>
      <c r="C23" s="25">
        <f>B23*12</f>
        <v>360</v>
      </c>
      <c r="D23" s="26">
        <f>$D$11*C23</f>
        <v>216000</v>
      </c>
      <c r="E23" s="26">
        <f>IF($D$13=0,$D$11*C23,$D$11*((1+$D$13)^C23-1)/$D$13)</f>
        <v>2096978.4796611038</v>
      </c>
      <c r="F23" s="26">
        <f>E23*$D$14</f>
        <v>12581.870877966623</v>
      </c>
      <c r="G23" s="16"/>
      <c r="H23" s="16"/>
      <c r="I23" s="16"/>
      <c r="J23" s="16"/>
      <c r="K23" s="16"/>
      <c r="L23" s="16"/>
      <c r="M23" s="16"/>
      <c r="N23" s="16"/>
      <c r="O23" s="16"/>
    </row>
    <row r="24" spans="2:15"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spans="2:15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spans="2:15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spans="2:15">
      <c r="B27" s="49" t="s">
        <v>20</v>
      </c>
      <c r="C27" s="49"/>
      <c r="D27" s="49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</row>
    <row r="28" spans="2:15">
      <c r="B28" s="9" t="s">
        <v>21</v>
      </c>
      <c r="C28" s="9" t="s">
        <v>22</v>
      </c>
      <c r="D28" s="9" t="s">
        <v>23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spans="2:15">
      <c r="B29" s="27" t="s">
        <v>24</v>
      </c>
      <c r="C29" s="12">
        <f>INDEX(Perfis!$E$3:$E$20,MATCH($D$15&amp;"-"&amp;B29,Perfis!$B$3:$B$20,0))</f>
        <v>0.32</v>
      </c>
      <c r="D29" s="22">
        <f t="shared" ref="D29:D34" si="0">C29*$D$11</f>
        <v>192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spans="2:15">
      <c r="B30" s="28" t="s">
        <v>25</v>
      </c>
      <c r="C30" s="13">
        <f>INDEX(Perfis!$E$3:$E$20,MATCH($D$15&amp;"-"&amp;B30,Perfis!$B$3:$B$20,0))</f>
        <v>0.35</v>
      </c>
      <c r="D30" s="24">
        <f t="shared" si="0"/>
        <v>210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</row>
    <row r="31" spans="2:15">
      <c r="B31" s="28" t="s">
        <v>26</v>
      </c>
      <c r="C31" s="13">
        <f>INDEX(Perfis!$E$3:$E$20,MATCH($D$15&amp;"-"&amp;B31,Perfis!$B$3:$B$20,0))</f>
        <v>0.08</v>
      </c>
      <c r="D31" s="24">
        <f t="shared" si="0"/>
        <v>48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</row>
    <row r="32" spans="2:15">
      <c r="B32" s="28" t="s">
        <v>27</v>
      </c>
      <c r="C32" s="13">
        <f>INDEX(Perfis!$E$3:$E$20,MATCH($D$15&amp;"-"&amp;B32,Perfis!$B$3:$B$20,0))</f>
        <v>0.05</v>
      </c>
      <c r="D32" s="24">
        <f t="shared" si="0"/>
        <v>30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</row>
    <row r="33" spans="2:15">
      <c r="B33" s="28" t="s">
        <v>28</v>
      </c>
      <c r="C33" s="13">
        <f>INDEX(Perfis!$E$3:$E$20,MATCH($D$15&amp;"-"&amp;B33,Perfis!$B$3:$B$20,0))</f>
        <v>0.1</v>
      </c>
      <c r="D33" s="24">
        <f t="shared" si="0"/>
        <v>60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</row>
    <row r="34" spans="2:15">
      <c r="B34" s="29" t="s">
        <v>29</v>
      </c>
      <c r="C34" s="14">
        <f>INDEX(Perfis!$E$3:$E$20,MATCH($D$15&amp;"-"&amp;B34,Perfis!$B$3:$B$20,0))</f>
        <v>0.1</v>
      </c>
      <c r="D34" s="26">
        <f t="shared" si="0"/>
        <v>60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2:15">
      <c r="B35" s="10" t="s">
        <v>30</v>
      </c>
      <c r="C35" s="15">
        <f>SUM(C29:C34)</f>
        <v>0.99999999999999989</v>
      </c>
      <c r="D35" s="11">
        <f>SUM(D29:D34)</f>
        <v>600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</row>
    <row r="36" spans="2:15"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spans="2:15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</row>
    <row r="38" spans="2:15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</row>
    <row r="39" spans="2:15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spans="2:15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</row>
    <row r="41" spans="2:15">
      <c r="B41" s="16"/>
      <c r="C41" s="16"/>
      <c r="D41" s="16"/>
      <c r="E41" s="16"/>
      <c r="F41" s="16"/>
    </row>
    <row r="42" spans="2:15">
      <c r="B42" s="16"/>
      <c r="C42" s="16"/>
      <c r="D42" s="16"/>
      <c r="E42" s="16"/>
      <c r="F42" s="16"/>
    </row>
  </sheetData>
  <mergeCells count="6">
    <mergeCell ref="B27:D27"/>
    <mergeCell ref="B2:H2"/>
    <mergeCell ref="B4:H4"/>
    <mergeCell ref="B6:D6"/>
    <mergeCell ref="F6:H6"/>
    <mergeCell ref="B17:F17"/>
  </mergeCells>
  <dataValidations count="1">
    <dataValidation type="list" sqref="D15" xr:uid="{00000000-0002-0000-0000-000000000000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FA88B"/>
  </sheetPr>
  <dimension ref="B2:H20"/>
  <sheetViews>
    <sheetView showGridLines="0" workbookViewId="0">
      <pane ySplit="2" topLeftCell="A3" activePane="bottomLeft" state="frozen"/>
      <selection pane="bottomLeft"/>
    </sheetView>
  </sheetViews>
  <sheetFormatPr defaultRowHeight="13.8"/>
  <cols>
    <col min="2" max="2" width="31" customWidth="1"/>
    <col min="3" max="3" width="16" customWidth="1"/>
    <col min="4" max="4" width="22" customWidth="1"/>
    <col min="5" max="5" width="14" customWidth="1"/>
    <col min="7" max="7" width="24" customWidth="1"/>
    <col min="8" max="8" width="52" customWidth="1"/>
  </cols>
  <sheetData>
    <row r="2" spans="2:8">
      <c r="B2" s="40" t="s">
        <v>31</v>
      </c>
      <c r="C2" s="40" t="s">
        <v>32</v>
      </c>
      <c r="D2" s="40" t="s">
        <v>21</v>
      </c>
      <c r="E2" s="40" t="s">
        <v>22</v>
      </c>
      <c r="F2" s="16"/>
      <c r="G2" s="7" t="s">
        <v>33</v>
      </c>
      <c r="H2" s="7"/>
    </row>
    <row r="3" spans="2:8">
      <c r="B3" s="27" t="str">
        <f t="shared" ref="B3:B20" si="0">C3&amp;"-"&amp;D3</f>
        <v>Conservador-Papel</v>
      </c>
      <c r="C3" s="27" t="s">
        <v>34</v>
      </c>
      <c r="D3" s="27" t="s">
        <v>24</v>
      </c>
      <c r="E3" s="42">
        <v>0.3</v>
      </c>
      <c r="F3" s="16"/>
      <c r="G3" s="41" t="s">
        <v>35</v>
      </c>
      <c r="H3" s="43" t="s">
        <v>36</v>
      </c>
    </row>
    <row r="4" spans="2:8">
      <c r="B4" s="28" t="str">
        <f t="shared" si="0"/>
        <v>Conservador-Tijolo</v>
      </c>
      <c r="C4" s="28" t="s">
        <v>34</v>
      </c>
      <c r="D4" s="28" t="s">
        <v>25</v>
      </c>
      <c r="E4" s="44">
        <v>0.5</v>
      </c>
      <c r="F4" s="16"/>
      <c r="G4" s="41" t="s">
        <v>37</v>
      </c>
      <c r="H4" s="43" t="s">
        <v>38</v>
      </c>
    </row>
    <row r="5" spans="2:8" ht="27.6">
      <c r="B5" s="28" t="str">
        <f t="shared" si="0"/>
        <v>Conservador-Híbridos</v>
      </c>
      <c r="C5" s="28" t="s">
        <v>34</v>
      </c>
      <c r="D5" s="28" t="s">
        <v>26</v>
      </c>
      <c r="E5" s="44">
        <v>0.1</v>
      </c>
      <c r="F5" s="16"/>
      <c r="G5" s="41" t="s">
        <v>39</v>
      </c>
      <c r="H5" s="43" t="s">
        <v>40</v>
      </c>
    </row>
    <row r="6" spans="2:8">
      <c r="B6" s="28" t="str">
        <f t="shared" si="0"/>
        <v>Conservador-FOFs</v>
      </c>
      <c r="C6" s="28" t="s">
        <v>34</v>
      </c>
      <c r="D6" s="28" t="s">
        <v>27</v>
      </c>
      <c r="E6" s="44">
        <v>0.1</v>
      </c>
      <c r="F6" s="16"/>
      <c r="G6" s="41" t="s">
        <v>41</v>
      </c>
      <c r="H6" s="43" t="s">
        <v>42</v>
      </c>
    </row>
    <row r="7" spans="2:8">
      <c r="B7" s="28" t="str">
        <f t="shared" si="0"/>
        <v>Conservador-Desenvolvimento</v>
      </c>
      <c r="C7" s="28" t="s">
        <v>34</v>
      </c>
      <c r="D7" s="28" t="s">
        <v>28</v>
      </c>
      <c r="E7" s="44">
        <v>0</v>
      </c>
      <c r="F7" s="16"/>
      <c r="G7" s="16"/>
      <c r="H7" s="16"/>
    </row>
    <row r="8" spans="2:8">
      <c r="B8" s="28" t="str">
        <f t="shared" si="0"/>
        <v>Conservador-Hotelaria</v>
      </c>
      <c r="C8" s="28" t="s">
        <v>34</v>
      </c>
      <c r="D8" s="28" t="s">
        <v>29</v>
      </c>
      <c r="E8" s="44">
        <v>0</v>
      </c>
      <c r="F8" s="16"/>
      <c r="G8" s="16"/>
      <c r="H8" s="16"/>
    </row>
    <row r="9" spans="2:8">
      <c r="B9" s="28" t="str">
        <f t="shared" si="0"/>
        <v>Moderado-Papel</v>
      </c>
      <c r="C9" s="28" t="s">
        <v>16</v>
      </c>
      <c r="D9" s="28" t="s">
        <v>24</v>
      </c>
      <c r="E9" s="44">
        <v>0.32</v>
      </c>
      <c r="F9" s="16"/>
      <c r="G9" s="16"/>
      <c r="H9" s="16"/>
    </row>
    <row r="10" spans="2:8">
      <c r="B10" s="28" t="str">
        <f t="shared" si="0"/>
        <v>Moderado-Tijolo</v>
      </c>
      <c r="C10" s="28" t="s">
        <v>16</v>
      </c>
      <c r="D10" s="28" t="s">
        <v>25</v>
      </c>
      <c r="E10" s="44">
        <v>0.35</v>
      </c>
      <c r="F10" s="16"/>
      <c r="G10" s="16"/>
      <c r="H10" s="16"/>
    </row>
    <row r="11" spans="2:8">
      <c r="B11" s="28" t="str">
        <f t="shared" si="0"/>
        <v>Moderado-Híbridos</v>
      </c>
      <c r="C11" s="28" t="s">
        <v>16</v>
      </c>
      <c r="D11" s="28" t="s">
        <v>26</v>
      </c>
      <c r="E11" s="44">
        <v>0.08</v>
      </c>
      <c r="F11" s="16"/>
      <c r="G11" s="16"/>
      <c r="H11" s="16"/>
    </row>
    <row r="12" spans="2:8">
      <c r="B12" s="28" t="str">
        <f t="shared" si="0"/>
        <v>Moderado-FOFs</v>
      </c>
      <c r="C12" s="28" t="s">
        <v>16</v>
      </c>
      <c r="D12" s="28" t="s">
        <v>27</v>
      </c>
      <c r="E12" s="44">
        <v>0.05</v>
      </c>
      <c r="F12" s="16"/>
      <c r="G12" s="16"/>
      <c r="H12" s="16"/>
    </row>
    <row r="13" spans="2:8">
      <c r="B13" s="28" t="str">
        <f t="shared" si="0"/>
        <v>Moderado-Desenvolvimento</v>
      </c>
      <c r="C13" s="28" t="s">
        <v>16</v>
      </c>
      <c r="D13" s="28" t="s">
        <v>28</v>
      </c>
      <c r="E13" s="44">
        <v>0.1</v>
      </c>
      <c r="F13" s="16"/>
      <c r="G13" s="16"/>
      <c r="H13" s="16"/>
    </row>
    <row r="14" spans="2:8">
      <c r="B14" s="28" t="str">
        <f t="shared" si="0"/>
        <v>Moderado-Hotelaria</v>
      </c>
      <c r="C14" s="28" t="s">
        <v>16</v>
      </c>
      <c r="D14" s="28" t="s">
        <v>29</v>
      </c>
      <c r="E14" s="44">
        <v>0.1</v>
      </c>
      <c r="F14" s="16"/>
      <c r="G14" s="16"/>
      <c r="H14" s="16"/>
    </row>
    <row r="15" spans="2:8">
      <c r="B15" s="28" t="str">
        <f t="shared" si="0"/>
        <v>Agressivo-Papel</v>
      </c>
      <c r="C15" s="28" t="s">
        <v>43</v>
      </c>
      <c r="D15" s="28" t="s">
        <v>24</v>
      </c>
      <c r="E15" s="44">
        <v>0.5</v>
      </c>
      <c r="F15" s="16"/>
      <c r="G15" s="16"/>
      <c r="H15" s="16"/>
    </row>
    <row r="16" spans="2:8">
      <c r="B16" s="28" t="str">
        <f t="shared" si="0"/>
        <v>Agressivo-Tijolo</v>
      </c>
      <c r="C16" s="28" t="s">
        <v>43</v>
      </c>
      <c r="D16" s="28" t="s">
        <v>25</v>
      </c>
      <c r="E16" s="44">
        <v>0.1</v>
      </c>
      <c r="F16" s="16"/>
      <c r="G16" s="16"/>
      <c r="H16" s="16"/>
    </row>
    <row r="17" spans="2:8">
      <c r="B17" s="28" t="str">
        <f t="shared" si="0"/>
        <v>Agressivo-Híbridos</v>
      </c>
      <c r="C17" s="28" t="s">
        <v>43</v>
      </c>
      <c r="D17" s="28" t="s">
        <v>26</v>
      </c>
      <c r="E17" s="44">
        <v>0.05</v>
      </c>
      <c r="F17" s="16"/>
      <c r="G17" s="16"/>
      <c r="H17" s="16"/>
    </row>
    <row r="18" spans="2:8">
      <c r="B18" s="28" t="str">
        <f t="shared" si="0"/>
        <v>Agressivo-FOFs</v>
      </c>
      <c r="C18" s="28" t="s">
        <v>43</v>
      </c>
      <c r="D18" s="28" t="s">
        <v>27</v>
      </c>
      <c r="E18" s="44">
        <v>0.05</v>
      </c>
      <c r="F18" s="16"/>
      <c r="G18" s="16"/>
      <c r="H18" s="16"/>
    </row>
    <row r="19" spans="2:8">
      <c r="B19" s="28" t="str">
        <f t="shared" si="0"/>
        <v>Agressivo-Desenvolvimento</v>
      </c>
      <c r="C19" s="28" t="s">
        <v>43</v>
      </c>
      <c r="D19" s="28" t="s">
        <v>28</v>
      </c>
      <c r="E19" s="44">
        <v>0.2</v>
      </c>
      <c r="F19" s="16"/>
      <c r="G19" s="16"/>
      <c r="H19" s="16"/>
    </row>
    <row r="20" spans="2:8">
      <c r="B20" s="29" t="str">
        <f t="shared" si="0"/>
        <v>Agressivo-Hotelaria</v>
      </c>
      <c r="C20" s="29" t="s">
        <v>43</v>
      </c>
      <c r="D20" s="29" t="s">
        <v>29</v>
      </c>
      <c r="E20" s="45">
        <v>0.1</v>
      </c>
      <c r="F20" s="16"/>
      <c r="G20" s="16"/>
      <c r="H20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Simulador</vt:lpstr>
      <vt:lpstr>Perfis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Izabela Nunes</dc:creator>
  <cp:lastModifiedBy>Izabela Nunes</cp:lastModifiedBy>
  <dcterms:created xsi:type="dcterms:W3CDTF">2026-09-18T19:28:54Z</dcterms:created>
  <dcterms:modified xsi:type="dcterms:W3CDTF">2026-09-18T19:31:23Z</dcterms:modified>
</cp:coreProperties>
</file>